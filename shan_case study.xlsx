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927A51C5-9132-C142-B763-9445C5B8A20A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ase_5" sheetId="5" r:id="rId1"/>
    <sheet name="Pivot" sheetId="6" r:id="rId2"/>
    <sheet name="charts" sheetId="8" r:id="rId3"/>
  </sheets>
  <definedNames>
    <definedName name="_xlnm._FilterDatabase" localSheetId="0" hidden="1">Case_5!$A$1:$L$51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5" l="1"/>
  <c r="B28" i="6"/>
  <c r="B27" i="6"/>
  <c r="B26" i="6"/>
  <c r="B25" i="6"/>
  <c r="B24" i="6"/>
  <c r="B23" i="6"/>
  <c r="B22" i="6"/>
  <c r="B15" i="6"/>
  <c r="B16" i="6"/>
  <c r="B18" i="6"/>
  <c r="B14" i="6"/>
  <c r="B17" i="6"/>
  <c r="B11" i="6"/>
  <c r="B7" i="6"/>
  <c r="B9" i="6"/>
  <c r="B8" i="6"/>
  <c r="C4" i="6"/>
  <c r="B4" i="6"/>
  <c r="D4" i="6"/>
  <c r="C3" i="6"/>
  <c r="B3" i="6"/>
  <c r="D3" i="6"/>
  <c r="C2" i="6"/>
  <c r="B2" i="6"/>
  <c r="D2" i="6"/>
  <c r="N14" i="5"/>
  <c r="N13" i="5"/>
  <c r="N15" i="5"/>
  <c r="N11" i="5"/>
  <c r="N10" i="5"/>
  <c r="N9" i="5"/>
  <c r="N3" i="5"/>
  <c r="N8" i="5"/>
  <c r="N5" i="5"/>
  <c r="N4" i="5"/>
  <c r="N2" i="5"/>
</calcChain>
</file>

<file path=xl/sharedStrings.xml><?xml version="1.0" encoding="utf-8"?>
<sst xmlns="http://schemas.openxmlformats.org/spreadsheetml/2006/main" count="259" uniqueCount="91">
  <si>
    <t>Day</t>
  </si>
  <si>
    <t>Student</t>
  </si>
  <si>
    <t>Printing_Pages</t>
  </si>
  <si>
    <t>Gaming</t>
  </si>
  <si>
    <t>Total_Sales</t>
  </si>
  <si>
    <t>Yes</t>
  </si>
  <si>
    <t>No</t>
  </si>
  <si>
    <t>Customer_Type</t>
  </si>
  <si>
    <t>Age</t>
  </si>
  <si>
    <t>Computer_Unit</t>
  </si>
  <si>
    <t>Usage_Hours</t>
  </si>
  <si>
    <t>Food_Order</t>
  </si>
  <si>
    <t>Internet_Sales</t>
  </si>
  <si>
    <t>Other_Sales</t>
  </si>
  <si>
    <t>V5000</t>
  </si>
  <si>
    <t>Other</t>
  </si>
  <si>
    <t>V5001</t>
  </si>
  <si>
    <t>V5002</t>
  </si>
  <si>
    <t>Worker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</si>
  <si>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</si>
  <si>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</si>
  <si>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</si>
  <si>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</si>
  <si>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</si>
  <si>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</si>
  <si>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</si>
  <si>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</si>
  <si>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</si>
  <si>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</si>
  <si>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</si>
  <si>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</si>
  <si>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</si>
  <si>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</si>
  <si>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</si>
  <si>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</si>
  <si>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</si>
  <si>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</si>
  <si>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</si>
  <si>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</si>
  <si>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</si>
  <si>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</si>
  <si>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</si>
  <si>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</si>
  <si>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</si>
  <si>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</si>
  <si>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</si>
  <si>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</si>
  <si>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</si>
  <si>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</si>
  <si>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</si>
  <si>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</si>
  <si>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</si>
  <si>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</si>
  <si>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</si>
  <si>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</si>
  <si>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</si>
  <si>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</si>
  <si>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</si>
  <si>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</si>
  <si>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</si>
  <si>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</si>
  <si>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</si>
  <si>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</si>
  <si>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</si>
  <si>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</si>
  <si>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</si>
  <si>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VisitID</t>
  </si>
  <si>
    <t>Usage Hours Stats</t>
  </si>
  <si>
    <t>Mean</t>
  </si>
  <si>
    <t>Median</t>
  </si>
  <si>
    <t>Minimum</t>
  </si>
  <si>
    <t>Maximum</t>
  </si>
  <si>
    <t>Total Sales Stats</t>
  </si>
  <si>
    <t>Total Visits</t>
  </si>
  <si>
    <t>Total Sales</t>
  </si>
  <si>
    <t>Avg. Sales Per Visit</t>
  </si>
  <si>
    <t>Customer Type</t>
  </si>
  <si>
    <t>No. Customer</t>
  </si>
  <si>
    <t xml:space="preserve">Average Sales </t>
  </si>
  <si>
    <t>Gaming Usage</t>
  </si>
  <si>
    <t xml:space="preserve"> % Used</t>
  </si>
  <si>
    <t>Total Pages Printed</t>
  </si>
  <si>
    <t>Revenue Breakdown</t>
  </si>
  <si>
    <t>Internet Sales</t>
  </si>
  <si>
    <t>Other Sales</t>
  </si>
  <si>
    <t>Grand Total</t>
  </si>
  <si>
    <t>% Internet</t>
  </si>
  <si>
    <t>% Other</t>
  </si>
  <si>
    <t>Per 7 Days</t>
  </si>
  <si>
    <t xml:space="preserve"> Total Sales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</si>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</sst>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Font="1" applyAlignment="1">
      <alignment vertical="top"/>
    </xf>
    <xf numFmtId="10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2" borderId="5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Pivot!$A$14:$A$15</c:f>
              <c:strCache>
                <c:ptCount val="2"/>
                <c:pt idx="0">
                  <c:v>Internet Sales</c:v>
                </c:pt>
                <c:pt idx="1">
                  <c:v>Other Sales</c:v>
                </c:pt>
              </c:strCache>
            </c:strRef>
          </c:cat>
          <c:val>
            <c:numRef>
              <c:f>Pivot!$B$14:$B$15</c:f>
              <c:numCache>
                <c:formatCode>General</c:formatCode>
                <c:ptCount val="2"/>
                <c:pt idx="0">
                  <c:v>6125</c:v>
                </c:pt>
                <c:pt idx="1">
                  <c:v>2220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0-454E-A736-1981CBF96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15113408"/>
        <c:axId val="2015116096"/>
      </c:barChart>
      <c:catAx>
        <c:axId val="201511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116096"/>
        <c:crosses val="autoZero"/>
        <c:auto val="1"/>
        <c:lblAlgn val="ctr"/>
        <c:lblOffset val="100"/>
        <c:noMultiLvlLbl val="0"/>
      </c:catAx>
      <c:valAx>
        <c:axId val="201511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11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No.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Pivot!$A$2:$A$4</c:f>
              <c:strCache>
                <c:ptCount val="3"/>
                <c:pt idx="0">
                  <c:v>Student</c:v>
                </c:pt>
                <c:pt idx="1">
                  <c:v>Worker</c:v>
                </c:pt>
                <c:pt idx="2">
                  <c:v>Other</c:v>
                </c:pt>
              </c:strCache>
            </c:strRef>
          </c:cat>
          <c:val>
            <c:numRef>
              <c:f>Pivot!$B$2:$B$4</c:f>
              <c:numCache>
                <c:formatCode>General</c:formatCode>
                <c:ptCount val="3"/>
                <c:pt idx="0">
                  <c:v>20</c:v>
                </c:pt>
                <c:pt idx="1">
                  <c:v>15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8-5D49-8689-0DD5EE53787C}"/>
            </c:ext>
          </c:extLst>
        </c:ser>
        <c:ser>
          <c:idx val="1"/>
          <c:order val="1"/>
          <c:tx>
            <c:strRef>
              <c:f>Pivot!$C$1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Pivot!$A$2:$A$4</c:f>
              <c:strCache>
                <c:ptCount val="3"/>
                <c:pt idx="0">
                  <c:v>Student</c:v>
                </c:pt>
                <c:pt idx="1">
                  <c:v>Worker</c:v>
                </c:pt>
                <c:pt idx="2">
                  <c:v>Other</c:v>
                </c:pt>
              </c:strCache>
            </c:strRef>
          </c:cat>
          <c:val>
            <c:numRef>
              <c:f>Pivot!$C$2:$C$4</c:f>
              <c:numCache>
                <c:formatCode>General</c:formatCode>
                <c:ptCount val="3"/>
                <c:pt idx="0">
                  <c:v>3315</c:v>
                </c:pt>
                <c:pt idx="1">
                  <c:v>2375</c:v>
                </c:pt>
                <c:pt idx="2">
                  <c:v>2655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8-5D49-8689-0DD5EE53787C}"/>
            </c:ext>
          </c:extLst>
        </c:ser>
        <c:ser>
          <c:idx val="2"/>
          <c:order val="2"/>
          <c:tx>
            <c:strRef>
              <c:f>Pivot!$D$1</c:f>
              <c:strCache>
                <c:ptCount val="1"/>
                <c:pt idx="0">
                  <c:v>Average Sales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Pivot!$A$2:$A$4</c:f>
              <c:strCache>
                <c:ptCount val="3"/>
                <c:pt idx="0">
                  <c:v>Student</c:v>
                </c:pt>
                <c:pt idx="1">
                  <c:v>Worker</c:v>
                </c:pt>
                <c:pt idx="2">
                  <c:v>Other</c:v>
                </c:pt>
              </c:strCache>
            </c:strRef>
          </c:cat>
          <c:val>
            <c:numRef>
              <c:f>Pivot!$D$2:$D$4</c:f>
              <c:numCache>
                <c:formatCode>General</c:formatCode>
                <c:ptCount val="3"/>
                <c:pt idx="0">
                  <c:v>165.75</c:v>
                </c:pt>
                <c:pt idx="1">
                  <c:v>158.33333333333334</c:v>
                </c:pt>
                <c:pt idx="2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8-5D49-8689-0DD5EE537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4043775"/>
        <c:axId val="1092754240"/>
      </c:barChart>
      <c:catAx>
        <c:axId val="59404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54240"/>
        <c:crosses val="autoZero"/>
        <c:auto val="1"/>
        <c:lblAlgn val="ctr"/>
        <c:lblOffset val="100"/>
        <c:noMultiLvlLbl val="0"/>
      </c:catAx>
      <c:valAx>
        <c:axId val="10927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4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Total 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Pivot!$A$22:$A$28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Pivot!$B$22:$B$28</c:f>
              <c:numCache>
                <c:formatCode>General</c:formatCode>
                <c:ptCount val="7"/>
                <c:pt idx="0">
                  <c:v>1355</c:v>
                </c:pt>
                <c:pt idx="1">
                  <c:v>1075</c:v>
                </c:pt>
                <c:pt idx="2">
                  <c:v>1100</c:v>
                </c:pt>
                <c:pt idx="3">
                  <c:v>1125</c:v>
                </c:pt>
                <c:pt idx="4">
                  <c:v>1195</c:v>
                </c:pt>
                <c:pt idx="5">
                  <c:v>1225</c:v>
                </c:pt>
                <c:pt idx="6">
                  <c:v>1270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EF-4B4C-B5F7-9602B5790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755968"/>
        <c:axId val="593757760"/>
      </c:scatterChart>
      <c:valAx>
        <c:axId val="5937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57760"/>
        <c:crosses val="autoZero"/>
        <c:crossBetween val="midCat"/>
      </c:valAx>
      <c:valAx>
        <c:axId val="5937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5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7620</xdr:rowOff>
    </xdr:from>
    <xdr:to>
      <xdr:col>3</xdr:col>
      <xdr:colOff>232410</xdr:colOff>
      <xdr:row>52</xdr:row>
      <xdr:rowOff>186690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C3AB90E1-4066-B6F2-D249-6E380046F7F5}"/>
            </a:ext>
          </a:extLst>
        </xdr:cNvPr>
        <xdr:cNvSpPr txBox="1"/>
      </xdr:nvSpPr>
      <xdr:spPr>
        <a:xfrm>
          <a:off x="0" y="7246620"/>
          <a:ext cx="3166110" cy="2846070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US"/>
            <a:t>RECOMMENDATION:</a:t>
          </a:r>
        </a:p>
        <a:p>
          <a:pPr algn="l"/>
          <a:r>
            <a:rPr lang="en-US"/>
            <a:t>1. HAVE PROMO ON WEEKENDSEVIDENCE: Sunday has the lowest sales at ₱540 only. Weekdays are higher.WHAT TO DO: Make "Sunday Promo - 3hrs for the price of 2hrs" to get more customers on weekends.</a:t>
          </a:r>
        </a:p>
        <a:p>
          <a:pPr algn="l"/>
          <a:r>
            <a:rPr lang="en-US"/>
            <a:t>2. GIVE MORE DISCOUNTS TO STUDENTSEVIDENCE: Students are 40% of all customers and they spend the most at ₱173.50 average.WHAT TO DO: Create a "Student Bundle" - Internet + Printing + Food with discount. Students stay longer too. IMPROVE INTERNET AND GAMING PCsEVIDENCE: Internet sales is ₱6,225 which is 74% of our total sales. Longer hours also means higher sales.WHAT TO DO: Add more fast gaming PCs and comfy chairs so customers will stay longer and spend more.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9600E-21E5-914F-992B-A4D50FA76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547688</xdr:colOff>
      <xdr:row>18</xdr:row>
      <xdr:rowOff>119062</xdr:rowOff>
    </xdr:from>
    <xdr:to>
      <xdr:col>8</xdr:col>
      <xdr:colOff>255242</xdr:colOff>
      <xdr:row>33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FBEBEF-F189-C44D-A8C7-9DFA88E8FBFB}"/>
            </a:ext>
            <a:ext uri="{147F2762-F138-4A5C-976F-8EAC2B608ADB}">
              <a16:predDERef xmlns:a16="http://schemas.microsoft.com/office/drawing/2014/main" pred="{DB49600E-21E5-914F-992B-A4D50FA76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8</xdr:col>
      <xdr:colOff>288636</xdr:colOff>
      <xdr:row>49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6AE779-9B36-4C4D-9FCC-34564634C7C1}"/>
            </a:ext>
            <a:ext uri="{147F2762-F138-4A5C-976F-8EAC2B608ADB}">
              <a16:predDERef xmlns:a16="http://schemas.microsoft.com/office/drawing/2014/main" pred="{4DFBEBEF-F189-C44D-A8C7-9DFA88E8F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1634AF-8AC8-FF40-926A-5D4DBFCA0775}" name="Table3" displayName="Table3" ref="A1:L51" totalsRowShown="0" headerRowDxfId="0">
  <autoFilter ref="A1:L51" xr:uid="{1E1634AF-8AC8-FF40-926A-5D4DBFCA0775}"/>
  <sortState xmlns:xlrd2="http://schemas.microsoft.com/office/spreadsheetml/2017/richdata2" ref="A2:L51">
    <sortCondition ref="L1:L51"/>
  </sortState>
  <tableColumns count="12">
    <tableColumn id="1" xr3:uid="{9ECEF0E5-5389-DF47-B94C-4859AEBECEA7}" name="VisitID"/>
    <tableColumn id="2" xr3:uid="{0543D619-3E81-F14A-A55D-5C99F8E5BE7D}" name="Day"/>
    <tableColumn id="3" xr3:uid="{47042251-F8C3-AF4A-A16C-98F1DB5E81FB}" name="Customer_Type"/>
    <tableColumn id="4" xr3:uid="{4F871138-604A-D941-B776-58F7F325F455}" name="Age"/>
    <tableColumn id="5" xr3:uid="{1C4DBFF4-ABF7-9E4F-A8F5-73749315AFC9}" name="Computer_Unit"/>
    <tableColumn id="6" xr3:uid="{4F1C6371-7351-FB41-9D5A-99E10523F505}" name="Usage_Hours"/>
    <tableColumn id="7" xr3:uid="{FC73085D-D228-8D40-923A-AF472457BA36}" name="Gaming"/>
    <tableColumn id="8" xr3:uid="{5123B528-B00C-3848-905D-42C3953F63AD}" name="Printing_Pages"/>
    <tableColumn id="9" xr3:uid="{0D2F42DF-A354-6745-AF69-D5AE4BBCDC34}" name="Food_Order"/>
    <tableColumn id="10" xr3:uid="{23B3654A-0EF4-D142-A854-E6AC6AB73D22}" name="Internet_Sales"/>
    <tableColumn id="11" xr3:uid="{A3F37A8C-0EA9-AE46-A3C2-F5BCBBC6B255}" name="Other_Sales"/>
    <tableColumn id="12" xr3:uid="{C58F3E15-35BD-924E-B633-9797ABA03C87}" name="Total_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1"/>
  <sheetViews>
    <sheetView topLeftCell="G1" workbookViewId="0">
      <selection activeCell="C47" sqref="C47:C51"/>
    </sheetView>
  </sheetViews>
  <sheetFormatPr defaultColWidth="8.609375" defaultRowHeight="15" x14ac:dyDescent="0.2"/>
  <cols>
    <col min="1" max="2" width="11.97265625" customWidth="1"/>
    <col min="3" max="3" width="17.3515625" customWidth="1"/>
    <col min="4" max="4" width="11.97265625" customWidth="1"/>
    <col min="5" max="5" width="17.08203125" customWidth="1"/>
    <col min="6" max="6" width="15.06640625" customWidth="1"/>
    <col min="7" max="7" width="11.97265625" customWidth="1"/>
    <col min="8" max="8" width="16.54296875" customWidth="1"/>
    <col min="9" max="9" width="14.2578125" customWidth="1"/>
    <col min="10" max="10" width="16.27734375" customWidth="1"/>
    <col min="11" max="11" width="14.2578125" customWidth="1"/>
    <col min="12" max="12" width="13.71875" customWidth="1"/>
    <col min="13" max="13" width="16.6796875" customWidth="1"/>
  </cols>
  <sheetData>
    <row r="1" spans="1:14" x14ac:dyDescent="0.2">
      <c r="A1" s="1" t="s">
        <v>66</v>
      </c>
      <c r="B1" s="1" t="s">
        <v>0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3</v>
      </c>
      <c r="H1" s="1" t="s">
        <v>2</v>
      </c>
      <c r="I1" s="1" t="s">
        <v>11</v>
      </c>
      <c r="J1" s="1" t="s">
        <v>12</v>
      </c>
      <c r="K1" s="1" t="s">
        <v>13</v>
      </c>
      <c r="L1" s="1" t="s">
        <v>4</v>
      </c>
      <c r="M1" t="s">
        <v>67</v>
      </c>
    </row>
    <row r="2" spans="1:14" x14ac:dyDescent="0.2">
      <c r="A2" t="s">
        <v>37</v>
      </c>
      <c r="B2">
        <v>22</v>
      </c>
      <c r="C2" t="s">
        <v>15</v>
      </c>
      <c r="D2">
        <v>42</v>
      </c>
      <c r="E2">
        <v>1</v>
      </c>
      <c r="F2">
        <v>1</v>
      </c>
      <c r="G2" t="s">
        <v>6</v>
      </c>
      <c r="H2">
        <v>5</v>
      </c>
      <c r="I2" t="s">
        <v>6</v>
      </c>
      <c r="J2">
        <v>25</v>
      </c>
      <c r="K2">
        <v>25</v>
      </c>
      <c r="L2">
        <v>50</v>
      </c>
      <c r="M2" t="s">
        <v>68</v>
      </c>
      <c r="N2">
        <f>AVERAGE(F2:F51)</f>
        <v>4.9000000000000004</v>
      </c>
    </row>
    <row r="3" spans="1:14" x14ac:dyDescent="0.2">
      <c r="A3" t="s">
        <v>52</v>
      </c>
      <c r="B3">
        <v>37</v>
      </c>
      <c r="C3" t="s">
        <v>18</v>
      </c>
      <c r="D3">
        <v>18</v>
      </c>
      <c r="E3">
        <v>10</v>
      </c>
      <c r="F3">
        <v>2</v>
      </c>
      <c r="G3" t="s">
        <v>6</v>
      </c>
      <c r="H3">
        <v>2</v>
      </c>
      <c r="I3" t="s">
        <v>6</v>
      </c>
      <c r="J3">
        <v>50</v>
      </c>
      <c r="K3">
        <v>10</v>
      </c>
      <c r="L3">
        <v>60</v>
      </c>
      <c r="M3" t="s">
        <v>69</v>
      </c>
      <c r="N3">
        <f>MEDIAN(F2:F51)</f>
        <v>5</v>
      </c>
    </row>
    <row r="4" spans="1:14" x14ac:dyDescent="0.2">
      <c r="A4" t="s">
        <v>64</v>
      </c>
      <c r="B4">
        <v>49</v>
      </c>
      <c r="C4" t="s">
        <v>18</v>
      </c>
      <c r="D4">
        <v>36</v>
      </c>
      <c r="E4">
        <v>26</v>
      </c>
      <c r="F4">
        <v>2</v>
      </c>
      <c r="G4" t="s">
        <v>5</v>
      </c>
      <c r="H4">
        <v>2</v>
      </c>
      <c r="I4" t="s">
        <v>6</v>
      </c>
      <c r="J4">
        <v>50</v>
      </c>
      <c r="K4">
        <v>10</v>
      </c>
      <c r="L4">
        <v>60</v>
      </c>
      <c r="M4" t="s">
        <v>70</v>
      </c>
      <c r="N4">
        <f>MIN(F2:F51)</f>
        <v>1</v>
      </c>
    </row>
    <row r="5" spans="1:14" x14ac:dyDescent="0.2">
      <c r="A5" t="s">
        <v>63</v>
      </c>
      <c r="B5">
        <v>48</v>
      </c>
      <c r="C5" t="s">
        <v>15</v>
      </c>
      <c r="D5">
        <v>44</v>
      </c>
      <c r="E5">
        <v>28</v>
      </c>
      <c r="F5">
        <v>2</v>
      </c>
      <c r="G5" t="s">
        <v>6</v>
      </c>
      <c r="H5">
        <v>3</v>
      </c>
      <c r="I5" t="s">
        <v>6</v>
      </c>
      <c r="J5">
        <v>50</v>
      </c>
      <c r="K5">
        <v>15</v>
      </c>
      <c r="L5">
        <v>65</v>
      </c>
      <c r="M5" t="s">
        <v>71</v>
      </c>
      <c r="N5">
        <f>MAX(F2:F51)</f>
        <v>8</v>
      </c>
    </row>
    <row r="6" spans="1:14" x14ac:dyDescent="0.2">
      <c r="A6" t="s">
        <v>35</v>
      </c>
      <c r="B6">
        <v>20</v>
      </c>
      <c r="C6" t="s">
        <v>1</v>
      </c>
      <c r="D6">
        <v>24</v>
      </c>
      <c r="E6">
        <v>28</v>
      </c>
      <c r="F6">
        <v>3</v>
      </c>
      <c r="G6" t="s">
        <v>6</v>
      </c>
      <c r="H6">
        <v>0</v>
      </c>
      <c r="I6" t="s">
        <v>6</v>
      </c>
      <c r="J6">
        <v>75</v>
      </c>
      <c r="K6">
        <v>0</v>
      </c>
      <c r="L6">
        <v>75</v>
      </c>
    </row>
    <row r="7" spans="1:14" x14ac:dyDescent="0.2">
      <c r="A7" t="s">
        <v>46</v>
      </c>
      <c r="B7">
        <v>31</v>
      </c>
      <c r="C7" t="s">
        <v>1</v>
      </c>
      <c r="D7">
        <v>36</v>
      </c>
      <c r="E7">
        <v>16</v>
      </c>
      <c r="F7">
        <v>3</v>
      </c>
      <c r="G7" t="s">
        <v>6</v>
      </c>
      <c r="H7">
        <v>2</v>
      </c>
      <c r="I7" t="s">
        <v>6</v>
      </c>
      <c r="J7">
        <v>75</v>
      </c>
      <c r="K7">
        <v>10</v>
      </c>
      <c r="L7">
        <v>85</v>
      </c>
      <c r="M7" t="s">
        <v>72</v>
      </c>
    </row>
    <row r="8" spans="1:14" x14ac:dyDescent="0.2">
      <c r="A8" t="s">
        <v>50</v>
      </c>
      <c r="B8">
        <v>35</v>
      </c>
      <c r="C8" t="s">
        <v>1</v>
      </c>
      <c r="D8">
        <v>19</v>
      </c>
      <c r="E8">
        <v>2</v>
      </c>
      <c r="F8">
        <v>2</v>
      </c>
      <c r="G8" t="s">
        <v>5</v>
      </c>
      <c r="H8">
        <v>8</v>
      </c>
      <c r="I8" t="s">
        <v>6</v>
      </c>
      <c r="J8">
        <v>50</v>
      </c>
      <c r="K8">
        <v>40</v>
      </c>
      <c r="L8">
        <v>90</v>
      </c>
      <c r="M8" t="s">
        <v>68</v>
      </c>
      <c r="N8">
        <f>AVERAGE(L2:L51)</f>
        <v>166.9</v>
      </c>
    </row>
    <row r="9" spans="1:14" x14ac:dyDescent="0.2">
      <c r="A9" t="s">
        <v>45</v>
      </c>
      <c r="B9">
        <v>30</v>
      </c>
      <c r="C9" t="s">
        <v>1</v>
      </c>
      <c r="D9">
        <v>17</v>
      </c>
      <c r="E9">
        <v>10</v>
      </c>
      <c r="F9">
        <v>3</v>
      </c>
      <c r="G9" t="s">
        <v>5</v>
      </c>
      <c r="H9">
        <v>5</v>
      </c>
      <c r="I9" t="s">
        <v>6</v>
      </c>
      <c r="J9">
        <v>75</v>
      </c>
      <c r="K9">
        <v>25</v>
      </c>
      <c r="L9">
        <v>100</v>
      </c>
      <c r="M9" t="s">
        <v>69</v>
      </c>
      <c r="N9">
        <f>MEDIAN(L2:L51)</f>
        <v>160</v>
      </c>
    </row>
    <row r="10" spans="1:14" x14ac:dyDescent="0.2">
      <c r="A10" t="s">
        <v>47</v>
      </c>
      <c r="B10">
        <v>32</v>
      </c>
      <c r="C10" t="s">
        <v>18</v>
      </c>
      <c r="D10">
        <v>33</v>
      </c>
      <c r="E10">
        <v>11</v>
      </c>
      <c r="F10">
        <v>4</v>
      </c>
      <c r="G10" t="s">
        <v>6</v>
      </c>
      <c r="H10">
        <v>0</v>
      </c>
      <c r="I10" t="s">
        <v>6</v>
      </c>
      <c r="J10">
        <v>100</v>
      </c>
      <c r="K10">
        <v>0</v>
      </c>
      <c r="L10">
        <v>100</v>
      </c>
      <c r="M10" t="s">
        <v>70</v>
      </c>
      <c r="N10">
        <f>MIN(L2:L51)</f>
        <v>50</v>
      </c>
    </row>
    <row r="11" spans="1:14" x14ac:dyDescent="0.2">
      <c r="A11" t="s">
        <v>19</v>
      </c>
      <c r="B11">
        <v>4</v>
      </c>
      <c r="C11" t="s">
        <v>18</v>
      </c>
      <c r="D11">
        <v>28</v>
      </c>
      <c r="E11">
        <v>10</v>
      </c>
      <c r="F11">
        <v>3</v>
      </c>
      <c r="G11" t="s">
        <v>6</v>
      </c>
      <c r="H11">
        <v>6</v>
      </c>
      <c r="I11" t="s">
        <v>6</v>
      </c>
      <c r="J11">
        <v>75</v>
      </c>
      <c r="K11">
        <v>30</v>
      </c>
      <c r="L11">
        <v>105</v>
      </c>
      <c r="M11" t="s">
        <v>71</v>
      </c>
      <c r="N11">
        <f>MAX(L2:L51)</f>
        <v>300</v>
      </c>
    </row>
    <row r="12" spans="1:14" x14ac:dyDescent="0.2">
      <c r="A12" t="s">
        <v>21</v>
      </c>
      <c r="B12">
        <v>6</v>
      </c>
      <c r="C12" t="s">
        <v>1</v>
      </c>
      <c r="D12">
        <v>38</v>
      </c>
      <c r="E12">
        <v>4</v>
      </c>
      <c r="F12">
        <v>4</v>
      </c>
      <c r="G12" t="s">
        <v>6</v>
      </c>
      <c r="H12">
        <v>2</v>
      </c>
      <c r="I12" t="s">
        <v>6</v>
      </c>
      <c r="J12">
        <v>100</v>
      </c>
      <c r="K12">
        <v>10</v>
      </c>
      <c r="L12">
        <v>110</v>
      </c>
    </row>
    <row r="13" spans="1:14" x14ac:dyDescent="0.2">
      <c r="A13" t="s">
        <v>58</v>
      </c>
      <c r="B13">
        <v>43</v>
      </c>
      <c r="C13" t="s">
        <v>1</v>
      </c>
      <c r="D13">
        <v>23</v>
      </c>
      <c r="E13">
        <v>8</v>
      </c>
      <c r="F13">
        <v>4</v>
      </c>
      <c r="G13" t="s">
        <v>5</v>
      </c>
      <c r="H13">
        <v>5</v>
      </c>
      <c r="I13" t="s">
        <v>6</v>
      </c>
      <c r="J13">
        <v>100</v>
      </c>
      <c r="K13">
        <v>25</v>
      </c>
      <c r="L13">
        <v>125</v>
      </c>
      <c r="M13" t="s">
        <v>73</v>
      </c>
      <c r="N13" s="2">
        <f>COUNTA(A2:A51)</f>
        <v>50</v>
      </c>
    </row>
    <row r="14" spans="1:14" x14ac:dyDescent="0.2">
      <c r="A14" t="s">
        <v>16</v>
      </c>
      <c r="B14">
        <v>2</v>
      </c>
      <c r="C14" t="s">
        <v>1</v>
      </c>
      <c r="D14">
        <v>18</v>
      </c>
      <c r="E14">
        <v>17</v>
      </c>
      <c r="F14">
        <v>2</v>
      </c>
      <c r="G14" t="s">
        <v>6</v>
      </c>
      <c r="H14">
        <v>6</v>
      </c>
      <c r="I14" t="s">
        <v>5</v>
      </c>
      <c r="J14">
        <v>50</v>
      </c>
      <c r="K14">
        <v>80</v>
      </c>
      <c r="L14">
        <v>130</v>
      </c>
      <c r="M14" t="s">
        <v>74</v>
      </c>
      <c r="N14">
        <f>SUM(L2:L51)</f>
        <v>8345</v>
      </c>
    </row>
    <row r="15" spans="1:14" x14ac:dyDescent="0.2">
      <c r="A15" t="s">
        <v>32</v>
      </c>
      <c r="B15">
        <v>17</v>
      </c>
      <c r="C15" t="s">
        <v>18</v>
      </c>
      <c r="D15">
        <v>16</v>
      </c>
      <c r="E15">
        <v>16</v>
      </c>
      <c r="F15">
        <v>5</v>
      </c>
      <c r="G15" t="s">
        <v>5</v>
      </c>
      <c r="H15">
        <v>1</v>
      </c>
      <c r="I15" t="s">
        <v>6</v>
      </c>
      <c r="J15">
        <v>125</v>
      </c>
      <c r="K15">
        <v>5</v>
      </c>
      <c r="L15">
        <v>130</v>
      </c>
      <c r="M15" t="s">
        <v>75</v>
      </c>
      <c r="N15">
        <f>N14/N13</f>
        <v>166.9</v>
      </c>
    </row>
    <row r="16" spans="1:14" x14ac:dyDescent="0.2">
      <c r="A16" t="s">
        <v>51</v>
      </c>
      <c r="B16">
        <v>36</v>
      </c>
      <c r="C16" t="s">
        <v>1</v>
      </c>
      <c r="D16">
        <v>28</v>
      </c>
      <c r="E16">
        <v>1</v>
      </c>
      <c r="F16">
        <v>2</v>
      </c>
      <c r="G16" t="s">
        <v>6</v>
      </c>
      <c r="H16">
        <v>0</v>
      </c>
      <c r="I16" t="s">
        <v>5</v>
      </c>
      <c r="J16">
        <v>50</v>
      </c>
      <c r="K16">
        <v>80</v>
      </c>
      <c r="L16">
        <v>130</v>
      </c>
    </row>
    <row r="17" spans="1:14" x14ac:dyDescent="0.2">
      <c r="A17" t="s">
        <v>33</v>
      </c>
      <c r="B17">
        <v>18</v>
      </c>
      <c r="C17" t="s">
        <v>1</v>
      </c>
      <c r="D17">
        <v>17</v>
      </c>
      <c r="E17">
        <v>23</v>
      </c>
      <c r="F17">
        <v>2</v>
      </c>
      <c r="G17" t="s">
        <v>6</v>
      </c>
      <c r="H17">
        <v>1</v>
      </c>
      <c r="I17" t="s">
        <v>5</v>
      </c>
      <c r="J17">
        <v>50</v>
      </c>
      <c r="K17">
        <v>85</v>
      </c>
      <c r="L17">
        <v>135</v>
      </c>
    </row>
    <row r="18" spans="1:14" x14ac:dyDescent="0.2">
      <c r="A18" t="s">
        <v>22</v>
      </c>
      <c r="B18">
        <v>7</v>
      </c>
      <c r="C18" t="s">
        <v>1</v>
      </c>
      <c r="D18">
        <v>28</v>
      </c>
      <c r="E18">
        <v>12</v>
      </c>
      <c r="F18">
        <v>4</v>
      </c>
      <c r="G18" t="s">
        <v>6</v>
      </c>
      <c r="H18">
        <v>8</v>
      </c>
      <c r="I18" t="s">
        <v>6</v>
      </c>
      <c r="J18">
        <v>100</v>
      </c>
      <c r="K18">
        <v>40</v>
      </c>
      <c r="L18">
        <v>140</v>
      </c>
      <c r="M18" t="s">
        <v>90</v>
      </c>
      <c r="N18">
        <f>CORREL(Case_5!F:F,Case_5!L:L)</f>
        <v>0.79109480636500695</v>
      </c>
    </row>
    <row r="19" spans="1:14" x14ac:dyDescent="0.2">
      <c r="A19" t="s">
        <v>54</v>
      </c>
      <c r="B19">
        <v>39</v>
      </c>
      <c r="C19" t="s">
        <v>15</v>
      </c>
      <c r="D19">
        <v>33</v>
      </c>
      <c r="E19">
        <v>22</v>
      </c>
      <c r="F19">
        <v>4</v>
      </c>
      <c r="G19" t="s">
        <v>5</v>
      </c>
      <c r="H19">
        <v>8</v>
      </c>
      <c r="I19" t="s">
        <v>6</v>
      </c>
      <c r="J19">
        <v>100</v>
      </c>
      <c r="K19">
        <v>40</v>
      </c>
      <c r="L19">
        <v>140</v>
      </c>
    </row>
    <row r="20" spans="1:14" x14ac:dyDescent="0.2">
      <c r="A20" t="s">
        <v>17</v>
      </c>
      <c r="B20">
        <v>3</v>
      </c>
      <c r="C20" t="s">
        <v>18</v>
      </c>
      <c r="D20">
        <v>42</v>
      </c>
      <c r="E20">
        <v>4</v>
      </c>
      <c r="F20">
        <v>4</v>
      </c>
      <c r="G20" t="s">
        <v>5</v>
      </c>
      <c r="H20">
        <v>10</v>
      </c>
      <c r="I20" t="s">
        <v>6</v>
      </c>
      <c r="J20">
        <v>100</v>
      </c>
      <c r="K20">
        <v>50</v>
      </c>
      <c r="L20">
        <v>150</v>
      </c>
    </row>
    <row r="21" spans="1:14" x14ac:dyDescent="0.2">
      <c r="A21" t="s">
        <v>31</v>
      </c>
      <c r="B21">
        <v>16</v>
      </c>
      <c r="C21" t="s">
        <v>15</v>
      </c>
      <c r="D21">
        <v>22</v>
      </c>
      <c r="E21">
        <v>5</v>
      </c>
      <c r="F21">
        <v>1</v>
      </c>
      <c r="G21" t="s">
        <v>6</v>
      </c>
      <c r="H21">
        <v>9</v>
      </c>
      <c r="I21" t="s">
        <v>5</v>
      </c>
      <c r="J21">
        <v>25</v>
      </c>
      <c r="K21">
        <v>125</v>
      </c>
      <c r="L21">
        <v>150</v>
      </c>
    </row>
    <row r="22" spans="1:14" x14ac:dyDescent="0.2">
      <c r="A22" t="s">
        <v>59</v>
      </c>
      <c r="B22">
        <v>44</v>
      </c>
      <c r="C22" t="s">
        <v>15</v>
      </c>
      <c r="D22">
        <v>17</v>
      </c>
      <c r="E22">
        <v>1</v>
      </c>
      <c r="F22">
        <v>5</v>
      </c>
      <c r="G22" t="s">
        <v>5</v>
      </c>
      <c r="H22">
        <v>5</v>
      </c>
      <c r="I22" t="s">
        <v>6</v>
      </c>
      <c r="J22">
        <v>125</v>
      </c>
      <c r="K22">
        <v>25</v>
      </c>
      <c r="L22">
        <v>150</v>
      </c>
    </row>
    <row r="23" spans="1:14" x14ac:dyDescent="0.2">
      <c r="A23" t="s">
        <v>49</v>
      </c>
      <c r="B23">
        <v>34</v>
      </c>
      <c r="C23" t="s">
        <v>18</v>
      </c>
      <c r="D23">
        <v>25</v>
      </c>
      <c r="E23">
        <v>20</v>
      </c>
      <c r="F23">
        <v>6</v>
      </c>
      <c r="G23" t="s">
        <v>5</v>
      </c>
      <c r="H23">
        <v>1</v>
      </c>
      <c r="I23" t="s">
        <v>6</v>
      </c>
      <c r="J23">
        <v>150</v>
      </c>
      <c r="K23">
        <v>5</v>
      </c>
      <c r="L23">
        <v>155</v>
      </c>
    </row>
    <row r="24" spans="1:14" x14ac:dyDescent="0.2">
      <c r="A24" t="s">
        <v>57</v>
      </c>
      <c r="B24">
        <v>42</v>
      </c>
      <c r="C24" t="s">
        <v>15</v>
      </c>
      <c r="D24">
        <v>23</v>
      </c>
      <c r="E24">
        <v>20</v>
      </c>
      <c r="F24">
        <v>2</v>
      </c>
      <c r="G24" t="s">
        <v>5</v>
      </c>
      <c r="H24">
        <v>5</v>
      </c>
      <c r="I24" t="s">
        <v>5</v>
      </c>
      <c r="J24">
        <v>50</v>
      </c>
      <c r="K24">
        <v>105</v>
      </c>
      <c r="L24">
        <v>155</v>
      </c>
    </row>
    <row r="25" spans="1:14" x14ac:dyDescent="0.2">
      <c r="A25" t="s">
        <v>20</v>
      </c>
      <c r="B25">
        <v>5</v>
      </c>
      <c r="C25" t="s">
        <v>18</v>
      </c>
      <c r="D25">
        <v>22</v>
      </c>
      <c r="E25">
        <v>30</v>
      </c>
      <c r="F25">
        <v>6</v>
      </c>
      <c r="G25" t="s">
        <v>5</v>
      </c>
      <c r="H25">
        <v>2</v>
      </c>
      <c r="I25" t="s">
        <v>6</v>
      </c>
      <c r="J25">
        <v>150</v>
      </c>
      <c r="K25">
        <v>10</v>
      </c>
      <c r="L25">
        <v>160</v>
      </c>
    </row>
    <row r="26" spans="1:14" x14ac:dyDescent="0.2">
      <c r="A26" t="s">
        <v>38</v>
      </c>
      <c r="B26">
        <v>23</v>
      </c>
      <c r="C26" t="s">
        <v>1</v>
      </c>
      <c r="D26">
        <v>36</v>
      </c>
      <c r="E26">
        <v>13</v>
      </c>
      <c r="F26">
        <v>5</v>
      </c>
      <c r="G26" t="s">
        <v>6</v>
      </c>
      <c r="H26">
        <v>7</v>
      </c>
      <c r="I26" t="s">
        <v>6</v>
      </c>
      <c r="J26">
        <v>125</v>
      </c>
      <c r="K26">
        <v>35</v>
      </c>
      <c r="L26">
        <v>160</v>
      </c>
    </row>
    <row r="27" spans="1:14" x14ac:dyDescent="0.2">
      <c r="A27" t="s">
        <v>41</v>
      </c>
      <c r="B27">
        <v>26</v>
      </c>
      <c r="C27" t="s">
        <v>15</v>
      </c>
      <c r="D27">
        <v>20</v>
      </c>
      <c r="E27">
        <v>24</v>
      </c>
      <c r="F27">
        <v>5</v>
      </c>
      <c r="G27" t="s">
        <v>5</v>
      </c>
      <c r="H27">
        <v>7</v>
      </c>
      <c r="I27" t="s">
        <v>6</v>
      </c>
      <c r="J27">
        <v>125</v>
      </c>
      <c r="K27">
        <v>35</v>
      </c>
      <c r="L27">
        <v>160</v>
      </c>
    </row>
    <row r="28" spans="1:14" x14ac:dyDescent="0.2">
      <c r="A28" t="s">
        <v>61</v>
      </c>
      <c r="B28">
        <v>46</v>
      </c>
      <c r="C28" t="s">
        <v>18</v>
      </c>
      <c r="D28">
        <v>40</v>
      </c>
      <c r="E28">
        <v>7</v>
      </c>
      <c r="F28">
        <v>3</v>
      </c>
      <c r="G28" t="s">
        <v>5</v>
      </c>
      <c r="H28">
        <v>1</v>
      </c>
      <c r="I28" t="s">
        <v>5</v>
      </c>
      <c r="J28">
        <v>75</v>
      </c>
      <c r="K28">
        <v>85</v>
      </c>
      <c r="L28">
        <v>160</v>
      </c>
    </row>
    <row r="29" spans="1:14" x14ac:dyDescent="0.2">
      <c r="A29" t="s">
        <v>42</v>
      </c>
      <c r="B29">
        <v>27</v>
      </c>
      <c r="C29" t="s">
        <v>15</v>
      </c>
      <c r="D29">
        <v>24</v>
      </c>
      <c r="E29">
        <v>1</v>
      </c>
      <c r="F29">
        <v>6</v>
      </c>
      <c r="G29" t="s">
        <v>5</v>
      </c>
      <c r="H29">
        <v>3</v>
      </c>
      <c r="I29" t="s">
        <v>6</v>
      </c>
      <c r="J29">
        <v>150</v>
      </c>
      <c r="K29">
        <v>15</v>
      </c>
      <c r="L29">
        <v>165</v>
      </c>
    </row>
    <row r="30" spans="1:14" x14ac:dyDescent="0.2">
      <c r="A30" t="s">
        <v>34</v>
      </c>
      <c r="B30">
        <v>19</v>
      </c>
      <c r="C30" t="s">
        <v>1</v>
      </c>
      <c r="D30">
        <v>33</v>
      </c>
      <c r="E30">
        <v>13</v>
      </c>
      <c r="F30">
        <v>7</v>
      </c>
      <c r="G30" t="s">
        <v>6</v>
      </c>
      <c r="H30">
        <v>0</v>
      </c>
      <c r="I30" t="s">
        <v>6</v>
      </c>
      <c r="J30">
        <v>175</v>
      </c>
      <c r="K30">
        <v>0</v>
      </c>
      <c r="L30">
        <v>175</v>
      </c>
    </row>
    <row r="31" spans="1:14" x14ac:dyDescent="0.2">
      <c r="A31" t="s">
        <v>48</v>
      </c>
      <c r="B31">
        <v>33</v>
      </c>
      <c r="C31" t="s">
        <v>15</v>
      </c>
      <c r="D31">
        <v>36</v>
      </c>
      <c r="E31">
        <v>21</v>
      </c>
      <c r="F31">
        <v>7</v>
      </c>
      <c r="G31" t="s">
        <v>5</v>
      </c>
      <c r="H31">
        <v>0</v>
      </c>
      <c r="I31" t="s">
        <v>6</v>
      </c>
      <c r="J31">
        <v>175</v>
      </c>
      <c r="K31">
        <v>0</v>
      </c>
      <c r="L31">
        <v>175</v>
      </c>
    </row>
    <row r="32" spans="1:14" x14ac:dyDescent="0.2">
      <c r="A32" t="s">
        <v>43</v>
      </c>
      <c r="B32">
        <v>28</v>
      </c>
      <c r="C32" t="s">
        <v>18</v>
      </c>
      <c r="D32">
        <v>27</v>
      </c>
      <c r="E32">
        <v>8</v>
      </c>
      <c r="F32">
        <v>6</v>
      </c>
      <c r="G32" t="s">
        <v>5</v>
      </c>
      <c r="H32">
        <v>6</v>
      </c>
      <c r="I32" t="s">
        <v>6</v>
      </c>
      <c r="J32">
        <v>150</v>
      </c>
      <c r="K32">
        <v>30</v>
      </c>
      <c r="L32">
        <v>180</v>
      </c>
    </row>
    <row r="33" spans="1:12" x14ac:dyDescent="0.2">
      <c r="A33" t="s">
        <v>60</v>
      </c>
      <c r="B33">
        <v>45</v>
      </c>
      <c r="C33" t="s">
        <v>1</v>
      </c>
      <c r="D33">
        <v>25</v>
      </c>
      <c r="E33">
        <v>30</v>
      </c>
      <c r="F33">
        <v>3</v>
      </c>
      <c r="G33" t="s">
        <v>6</v>
      </c>
      <c r="H33">
        <v>5</v>
      </c>
      <c r="I33" t="s">
        <v>5</v>
      </c>
      <c r="J33">
        <v>75</v>
      </c>
      <c r="K33">
        <v>105</v>
      </c>
      <c r="L33">
        <v>180</v>
      </c>
    </row>
    <row r="34" spans="1:12" x14ac:dyDescent="0.2">
      <c r="A34" t="s">
        <v>65</v>
      </c>
      <c r="B34">
        <v>50</v>
      </c>
      <c r="C34" t="s">
        <v>1</v>
      </c>
      <c r="D34">
        <v>37</v>
      </c>
      <c r="E34">
        <v>28</v>
      </c>
      <c r="F34">
        <v>7</v>
      </c>
      <c r="G34" t="s">
        <v>6</v>
      </c>
      <c r="H34">
        <v>3</v>
      </c>
      <c r="I34" t="s">
        <v>6</v>
      </c>
      <c r="J34">
        <v>175</v>
      </c>
      <c r="K34">
        <v>15</v>
      </c>
      <c r="L34">
        <v>190</v>
      </c>
    </row>
    <row r="35" spans="1:12" x14ac:dyDescent="0.2">
      <c r="A35" t="s">
        <v>36</v>
      </c>
      <c r="B35">
        <v>21</v>
      </c>
      <c r="C35" t="s">
        <v>18</v>
      </c>
      <c r="D35">
        <v>23</v>
      </c>
      <c r="E35">
        <v>2</v>
      </c>
      <c r="F35">
        <v>8</v>
      </c>
      <c r="G35" t="s">
        <v>5</v>
      </c>
      <c r="H35">
        <v>0</v>
      </c>
      <c r="I35" t="s">
        <v>6</v>
      </c>
      <c r="J35">
        <v>200</v>
      </c>
      <c r="K35">
        <v>0</v>
      </c>
      <c r="L35">
        <v>200</v>
      </c>
    </row>
    <row r="36" spans="1:12" x14ac:dyDescent="0.2">
      <c r="A36" t="s">
        <v>55</v>
      </c>
      <c r="B36">
        <v>40</v>
      </c>
      <c r="C36" t="s">
        <v>18</v>
      </c>
      <c r="D36">
        <v>23</v>
      </c>
      <c r="E36">
        <v>14</v>
      </c>
      <c r="F36">
        <v>6</v>
      </c>
      <c r="G36" t="s">
        <v>6</v>
      </c>
      <c r="H36">
        <v>10</v>
      </c>
      <c r="I36" t="s">
        <v>6</v>
      </c>
      <c r="J36">
        <v>150</v>
      </c>
      <c r="K36">
        <v>50</v>
      </c>
      <c r="L36">
        <v>200</v>
      </c>
    </row>
    <row r="37" spans="1:12" x14ac:dyDescent="0.2">
      <c r="A37" t="s">
        <v>62</v>
      </c>
      <c r="B37">
        <v>47</v>
      </c>
      <c r="C37" t="s">
        <v>15</v>
      </c>
      <c r="D37">
        <v>38</v>
      </c>
      <c r="E37">
        <v>18</v>
      </c>
      <c r="F37">
        <v>7</v>
      </c>
      <c r="G37" t="s">
        <v>6</v>
      </c>
      <c r="H37">
        <v>5</v>
      </c>
      <c r="I37" t="s">
        <v>6</v>
      </c>
      <c r="J37">
        <v>175</v>
      </c>
      <c r="K37">
        <v>25</v>
      </c>
      <c r="L37">
        <v>200</v>
      </c>
    </row>
    <row r="38" spans="1:12" x14ac:dyDescent="0.2">
      <c r="A38" t="s">
        <v>14</v>
      </c>
      <c r="B38">
        <v>1</v>
      </c>
      <c r="C38" t="s">
        <v>15</v>
      </c>
      <c r="D38">
        <v>20</v>
      </c>
      <c r="E38">
        <v>29</v>
      </c>
      <c r="F38">
        <v>7</v>
      </c>
      <c r="G38" t="s">
        <v>6</v>
      </c>
      <c r="H38">
        <v>6</v>
      </c>
      <c r="I38" t="s">
        <v>6</v>
      </c>
      <c r="J38">
        <v>175</v>
      </c>
      <c r="K38">
        <v>30</v>
      </c>
      <c r="L38">
        <v>205</v>
      </c>
    </row>
    <row r="39" spans="1:12" x14ac:dyDescent="0.2">
      <c r="A39" t="s">
        <v>27</v>
      </c>
      <c r="B39">
        <v>12</v>
      </c>
      <c r="C39" t="s">
        <v>15</v>
      </c>
      <c r="D39">
        <v>41</v>
      </c>
      <c r="E39">
        <v>21</v>
      </c>
      <c r="F39">
        <v>8</v>
      </c>
      <c r="G39" t="s">
        <v>5</v>
      </c>
      <c r="H39">
        <v>2</v>
      </c>
      <c r="I39" t="s">
        <v>6</v>
      </c>
      <c r="J39">
        <v>200</v>
      </c>
      <c r="K39">
        <v>10</v>
      </c>
      <c r="L39">
        <v>210</v>
      </c>
    </row>
    <row r="40" spans="1:12" x14ac:dyDescent="0.2">
      <c r="A40" t="s">
        <v>29</v>
      </c>
      <c r="B40">
        <v>14</v>
      </c>
      <c r="C40" t="s">
        <v>1</v>
      </c>
      <c r="D40">
        <v>18</v>
      </c>
      <c r="E40">
        <v>7</v>
      </c>
      <c r="F40">
        <v>8</v>
      </c>
      <c r="G40" t="s">
        <v>6</v>
      </c>
      <c r="H40">
        <v>5</v>
      </c>
      <c r="I40" t="s">
        <v>6</v>
      </c>
      <c r="J40">
        <v>200</v>
      </c>
      <c r="K40">
        <v>25</v>
      </c>
      <c r="L40">
        <v>225</v>
      </c>
    </row>
    <row r="41" spans="1:12" x14ac:dyDescent="0.2">
      <c r="A41" t="s">
        <v>56</v>
      </c>
      <c r="B41">
        <v>41</v>
      </c>
      <c r="C41" t="s">
        <v>1</v>
      </c>
      <c r="D41">
        <v>17</v>
      </c>
      <c r="E41">
        <v>2</v>
      </c>
      <c r="F41">
        <v>6</v>
      </c>
      <c r="G41" t="s">
        <v>6</v>
      </c>
      <c r="H41">
        <v>0</v>
      </c>
      <c r="I41" t="s">
        <v>5</v>
      </c>
      <c r="J41">
        <v>150</v>
      </c>
      <c r="K41">
        <v>80</v>
      </c>
      <c r="L41">
        <v>230</v>
      </c>
    </row>
    <row r="42" spans="1:12" x14ac:dyDescent="0.2">
      <c r="A42" t="s">
        <v>25</v>
      </c>
      <c r="B42">
        <v>10</v>
      </c>
      <c r="C42" t="s">
        <v>18</v>
      </c>
      <c r="D42">
        <v>24</v>
      </c>
      <c r="E42">
        <v>23</v>
      </c>
      <c r="F42">
        <v>8</v>
      </c>
      <c r="G42" t="s">
        <v>5</v>
      </c>
      <c r="H42">
        <v>7</v>
      </c>
      <c r="I42" t="s">
        <v>6</v>
      </c>
      <c r="J42">
        <v>200</v>
      </c>
      <c r="K42">
        <v>35</v>
      </c>
      <c r="L42">
        <v>235</v>
      </c>
    </row>
    <row r="43" spans="1:12" x14ac:dyDescent="0.2">
      <c r="A43" t="s">
        <v>28</v>
      </c>
      <c r="B43">
        <v>13</v>
      </c>
      <c r="C43" t="s">
        <v>18</v>
      </c>
      <c r="D43">
        <v>27</v>
      </c>
      <c r="E43">
        <v>17</v>
      </c>
      <c r="F43">
        <v>8</v>
      </c>
      <c r="G43" t="s">
        <v>6</v>
      </c>
      <c r="H43">
        <v>7</v>
      </c>
      <c r="I43" t="s">
        <v>6</v>
      </c>
      <c r="J43">
        <v>200</v>
      </c>
      <c r="K43">
        <v>35</v>
      </c>
      <c r="L43">
        <v>235</v>
      </c>
    </row>
    <row r="44" spans="1:12" x14ac:dyDescent="0.2">
      <c r="A44" t="s">
        <v>23</v>
      </c>
      <c r="B44">
        <v>8</v>
      </c>
      <c r="C44" t="s">
        <v>1</v>
      </c>
      <c r="D44">
        <v>39</v>
      </c>
      <c r="E44">
        <v>22</v>
      </c>
      <c r="F44">
        <v>5</v>
      </c>
      <c r="G44" t="s">
        <v>6</v>
      </c>
      <c r="H44">
        <v>8</v>
      </c>
      <c r="I44" t="s">
        <v>5</v>
      </c>
      <c r="J44">
        <v>125</v>
      </c>
      <c r="K44">
        <v>120</v>
      </c>
      <c r="L44">
        <v>245</v>
      </c>
    </row>
    <row r="45" spans="1:12" x14ac:dyDescent="0.2">
      <c r="A45" t="s">
        <v>24</v>
      </c>
      <c r="B45">
        <v>9</v>
      </c>
      <c r="C45" t="s">
        <v>18</v>
      </c>
      <c r="D45">
        <v>16</v>
      </c>
      <c r="E45">
        <v>24</v>
      </c>
      <c r="F45">
        <v>5</v>
      </c>
      <c r="G45" t="s">
        <v>5</v>
      </c>
      <c r="H45">
        <v>8</v>
      </c>
      <c r="I45" t="s">
        <v>5</v>
      </c>
      <c r="J45">
        <v>125</v>
      </c>
      <c r="K45">
        <v>120</v>
      </c>
      <c r="L45">
        <v>245</v>
      </c>
    </row>
    <row r="46" spans="1:12" x14ac:dyDescent="0.2">
      <c r="A46" t="s">
        <v>44</v>
      </c>
      <c r="B46">
        <v>29</v>
      </c>
      <c r="C46" t="s">
        <v>1</v>
      </c>
      <c r="D46">
        <v>25</v>
      </c>
      <c r="E46">
        <v>6</v>
      </c>
      <c r="F46">
        <v>8</v>
      </c>
      <c r="G46" t="s">
        <v>5</v>
      </c>
      <c r="H46">
        <v>9</v>
      </c>
      <c r="I46" t="s">
        <v>6</v>
      </c>
      <c r="J46">
        <v>200</v>
      </c>
      <c r="K46">
        <v>45</v>
      </c>
      <c r="L46">
        <v>245</v>
      </c>
    </row>
    <row r="47" spans="1:12" x14ac:dyDescent="0.2">
      <c r="A47" t="s">
        <v>53</v>
      </c>
      <c r="B47">
        <v>38</v>
      </c>
      <c r="C47" t="s">
        <v>1</v>
      </c>
      <c r="D47">
        <v>42</v>
      </c>
      <c r="E47">
        <v>17</v>
      </c>
      <c r="F47">
        <v>8</v>
      </c>
      <c r="G47" t="s">
        <v>6</v>
      </c>
      <c r="H47">
        <v>9</v>
      </c>
      <c r="I47" t="s">
        <v>6</v>
      </c>
      <c r="J47">
        <v>200</v>
      </c>
      <c r="K47">
        <v>45</v>
      </c>
      <c r="L47">
        <v>245</v>
      </c>
    </row>
    <row r="48" spans="1:12" x14ac:dyDescent="0.2">
      <c r="A48" t="s">
        <v>39</v>
      </c>
      <c r="B48">
        <v>24</v>
      </c>
      <c r="C48" t="s">
        <v>15</v>
      </c>
      <c r="D48">
        <v>41</v>
      </c>
      <c r="E48">
        <v>4</v>
      </c>
      <c r="F48">
        <v>7</v>
      </c>
      <c r="G48" t="s">
        <v>5</v>
      </c>
      <c r="H48">
        <v>2</v>
      </c>
      <c r="I48" t="s">
        <v>5</v>
      </c>
      <c r="J48">
        <v>175</v>
      </c>
      <c r="K48">
        <v>90</v>
      </c>
      <c r="L48">
        <v>265</v>
      </c>
    </row>
    <row r="49" spans="1:12" x14ac:dyDescent="0.2">
      <c r="A49" t="s">
        <v>40</v>
      </c>
      <c r="B49">
        <v>25</v>
      </c>
      <c r="C49" t="s">
        <v>15</v>
      </c>
      <c r="D49">
        <v>30</v>
      </c>
      <c r="E49">
        <v>15</v>
      </c>
      <c r="F49">
        <v>6</v>
      </c>
      <c r="G49" t="s">
        <v>6</v>
      </c>
      <c r="H49">
        <v>7</v>
      </c>
      <c r="I49" t="s">
        <v>5</v>
      </c>
      <c r="J49">
        <v>150</v>
      </c>
      <c r="K49">
        <v>115</v>
      </c>
      <c r="L49">
        <v>265</v>
      </c>
    </row>
    <row r="50" spans="1:12" x14ac:dyDescent="0.2">
      <c r="A50" t="s">
        <v>26</v>
      </c>
      <c r="B50">
        <v>11</v>
      </c>
      <c r="C50" t="s">
        <v>15</v>
      </c>
      <c r="D50">
        <v>28</v>
      </c>
      <c r="E50">
        <v>25</v>
      </c>
      <c r="F50">
        <v>7</v>
      </c>
      <c r="G50" t="s">
        <v>6</v>
      </c>
      <c r="H50">
        <v>9</v>
      </c>
      <c r="I50" t="s">
        <v>5</v>
      </c>
      <c r="J50">
        <v>175</v>
      </c>
      <c r="K50">
        <v>125</v>
      </c>
      <c r="L50">
        <v>300</v>
      </c>
    </row>
    <row r="51" spans="1:12" x14ac:dyDescent="0.2">
      <c r="A51" t="s">
        <v>30</v>
      </c>
      <c r="B51">
        <v>15</v>
      </c>
      <c r="C51" t="s">
        <v>1</v>
      </c>
      <c r="D51">
        <v>28</v>
      </c>
      <c r="E51">
        <v>21</v>
      </c>
      <c r="F51">
        <v>8</v>
      </c>
      <c r="G51" t="s">
        <v>6</v>
      </c>
      <c r="H51">
        <v>4</v>
      </c>
      <c r="I51" t="s">
        <v>5</v>
      </c>
      <c r="J51">
        <v>200</v>
      </c>
      <c r="K51">
        <v>100</v>
      </c>
      <c r="L51">
        <v>300</v>
      </c>
    </row>
  </sheetData>
  <pageMargins left="0.75" right="0.75" top="1" bottom="1" header="0.5" footer="0.5"/>
  <pageSetup scale="0" firstPageNumber="0" fitToWidth="0" fitToHeight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BBB5-A033-554D-BA74-B4F35E6F714E}">
  <dimension ref="A1:L49"/>
  <sheetViews>
    <sheetView topLeftCell="A10" zoomScaleNormal="60" zoomScaleSheetLayoutView="100" workbookViewId="0">
      <selection activeCell="A21" sqref="A21:B28"/>
    </sheetView>
  </sheetViews>
  <sheetFormatPr defaultRowHeight="15" x14ac:dyDescent="0.2"/>
  <cols>
    <col min="1" max="1" width="17.484375" customWidth="1"/>
    <col min="2" max="2" width="12.9140625" customWidth="1"/>
    <col min="3" max="3" width="11.02734375" customWidth="1"/>
    <col min="4" max="4" width="12.375" customWidth="1"/>
    <col min="6" max="6" width="9.953125" customWidth="1"/>
  </cols>
  <sheetData>
    <row r="1" spans="1:4" x14ac:dyDescent="0.2">
      <c r="A1" s="13" t="s">
        <v>76</v>
      </c>
      <c r="B1" s="13" t="s">
        <v>77</v>
      </c>
      <c r="C1" s="13" t="s">
        <v>74</v>
      </c>
      <c r="D1" s="13" t="s">
        <v>78</v>
      </c>
    </row>
    <row r="2" spans="1:4" x14ac:dyDescent="0.2">
      <c r="A2" s="13" t="s">
        <v>1</v>
      </c>
      <c r="B2" s="13">
        <f>COUNTIF(Case_5!C2:C51,A2)</f>
        <v>20</v>
      </c>
      <c r="C2" s="13">
        <f>SUMIF(Case_5!C:C,A2,Case_5!L:L)</f>
        <v>3315</v>
      </c>
      <c r="D2" s="13">
        <f>C2/B2</f>
        <v>165.75</v>
      </c>
    </row>
    <row r="3" spans="1:4" x14ac:dyDescent="0.2">
      <c r="A3" s="13" t="s">
        <v>18</v>
      </c>
      <c r="B3" s="13">
        <f>COUNTIF(Case_5!C:C, A3)</f>
        <v>15</v>
      </c>
      <c r="C3" s="13">
        <f>SUMIF(Case_5!C:C,A3,Case_5!L:L)</f>
        <v>2375</v>
      </c>
      <c r="D3" s="13">
        <f>C3/B3</f>
        <v>158.33333333333334</v>
      </c>
    </row>
    <row r="4" spans="1:4" x14ac:dyDescent="0.2">
      <c r="A4" s="13" t="s">
        <v>15</v>
      </c>
      <c r="B4" s="13">
        <f>COUNTIF(Case_5!C:C, A4)</f>
        <v>15</v>
      </c>
      <c r="C4" s="13">
        <f>SUMIF(Case_5!C:C,A4,Case_5!L:L)</f>
        <v>2655</v>
      </c>
      <c r="D4" s="13">
        <f>C4/B4</f>
        <v>177</v>
      </c>
    </row>
    <row r="6" spans="1:4" x14ac:dyDescent="0.2">
      <c r="A6" t="s">
        <v>79</v>
      </c>
    </row>
    <row r="7" spans="1:4" x14ac:dyDescent="0.2">
      <c r="A7" t="s">
        <v>5</v>
      </c>
      <c r="B7">
        <f>COUNTIF(Case_5!G:G, A7)</f>
        <v>22</v>
      </c>
    </row>
    <row r="8" spans="1:4" x14ac:dyDescent="0.2">
      <c r="A8" t="s">
        <v>6</v>
      </c>
      <c r="B8">
        <f>COUNTIF(Case_5!G:G, A8)</f>
        <v>28</v>
      </c>
    </row>
    <row r="9" spans="1:4" x14ac:dyDescent="0.2">
      <c r="A9" t="s">
        <v>80</v>
      </c>
      <c r="B9">
        <f>B7/ 50%</f>
        <v>44</v>
      </c>
    </row>
    <row r="11" spans="1:4" x14ac:dyDescent="0.2">
      <c r="A11" t="s">
        <v>81</v>
      </c>
      <c r="B11">
        <f>SUM( Case_5!H2:H51)</f>
        <v>226</v>
      </c>
    </row>
    <row r="13" spans="1:4" x14ac:dyDescent="0.2">
      <c r="A13" t="s">
        <v>82</v>
      </c>
    </row>
    <row r="14" spans="1:4" x14ac:dyDescent="0.2">
      <c r="A14" t="s">
        <v>83</v>
      </c>
      <c r="B14">
        <f>SUM(Case_5!J:J)</f>
        <v>6125</v>
      </c>
    </row>
    <row r="15" spans="1:4" x14ac:dyDescent="0.2">
      <c r="A15" t="s">
        <v>84</v>
      </c>
      <c r="B15">
        <f>SUM(Case_5!K:K)</f>
        <v>2220</v>
      </c>
    </row>
    <row r="16" spans="1:4" x14ac:dyDescent="0.2">
      <c r="A16" t="s">
        <v>85</v>
      </c>
      <c r="B16">
        <f>SUM(Case_5!L:L)</f>
        <v>8345</v>
      </c>
    </row>
    <row r="17" spans="1:3" x14ac:dyDescent="0.2">
      <c r="A17" t="s">
        <v>86</v>
      </c>
      <c r="B17" s="3">
        <f xml:space="preserve"> B14/ B16</f>
        <v>0.7339724385859796</v>
      </c>
    </row>
    <row r="18" spans="1:3" x14ac:dyDescent="0.2">
      <c r="A18" t="s">
        <v>87</v>
      </c>
      <c r="B18" s="3">
        <f>B15/B16</f>
        <v>0.2660275614140204</v>
      </c>
    </row>
    <row r="21" spans="1:3" x14ac:dyDescent="0.2">
      <c r="A21" s="15" t="s">
        <v>88</v>
      </c>
      <c r="B21" s="15" t="s">
        <v>74</v>
      </c>
    </row>
    <row r="22" spans="1:3" x14ac:dyDescent="0.2">
      <c r="A22" s="15">
        <v>1</v>
      </c>
      <c r="B22" s="15">
        <f>SUM(Case_5!L2+ Case_5!L9+ Case_5!L16+ Case_5!L23+ Case_5!L30+ Case_5!L37+ Case_5!L44+ Case_5!L51)</f>
        <v>1355</v>
      </c>
    </row>
    <row r="23" spans="1:3" x14ac:dyDescent="0.2">
      <c r="A23" s="15">
        <v>2</v>
      </c>
      <c r="B23" s="15">
        <f>SUM(Case_5!L3+ Case_5!L10+ Case_5!L17+ Case_5!L24+ Case_5!L31+ Case_5!L38+ Case_5!L45)</f>
        <v>1075</v>
      </c>
    </row>
    <row r="24" spans="1:3" x14ac:dyDescent="0.2">
      <c r="A24" s="15">
        <v>3</v>
      </c>
      <c r="B24" s="15">
        <f>SUM(Case_5!L4+ Case_5!L11+ Case_5!L18+ Case_5!L25+ Case_5!L32+ Case_5!L39+ Case_5!L46)</f>
        <v>1100</v>
      </c>
    </row>
    <row r="25" spans="1:3" x14ac:dyDescent="0.2">
      <c r="A25" s="15">
        <v>4</v>
      </c>
      <c r="B25" s="15">
        <f>SUM(Case_5!L5+ Case_5!L12+ Case_5!L19+ Case_5!L26+ Case_5!L33+ Case_5!L40+ Case_5!L47)</f>
        <v>1125</v>
      </c>
    </row>
    <row r="26" spans="1:3" x14ac:dyDescent="0.2">
      <c r="A26" s="15">
        <v>5</v>
      </c>
      <c r="B26" s="15">
        <f>SUM(Case_5!L6+ Case_5!L13+ Case_5!L20+ Case_5!L27+ Case_5!L34+ Case_5!L41+ Case_5!L48)</f>
        <v>1195</v>
      </c>
    </row>
    <row r="27" spans="1:3" x14ac:dyDescent="0.2">
      <c r="A27" s="15">
        <v>6</v>
      </c>
      <c r="B27" s="15">
        <f>SUM(Case_5!L7+ Case_5!L14+ Case_5!L21+ Case_5!L28+ Case_5!L35+ Case_5!L42+ Case_5!L49)</f>
        <v>1225</v>
      </c>
    </row>
    <row r="28" spans="1:3" x14ac:dyDescent="0.2">
      <c r="A28" s="15">
        <v>7</v>
      </c>
      <c r="B28" s="15">
        <f>SUM(Case_5!L8+ Case_5!L15+ Case_5!L22+ Case_5!L29+ Case_5!L36+ Case_5!L43+ Case_5!L50)</f>
        <v>1270</v>
      </c>
    </row>
    <row r="30" spans="1:3" x14ac:dyDescent="0.2">
      <c r="A30" t="s">
        <v>66</v>
      </c>
      <c r="B30" t="s">
        <v>76</v>
      </c>
      <c r="C30" t="s">
        <v>89</v>
      </c>
    </row>
    <row r="31" spans="1:3" x14ac:dyDescent="0.2">
      <c r="A31" s="10" t="s">
        <v>26</v>
      </c>
      <c r="B31" s="4" t="s">
        <v>15</v>
      </c>
      <c r="C31" s="5">
        <v>300</v>
      </c>
    </row>
    <row r="32" spans="1:3" x14ac:dyDescent="0.2">
      <c r="A32" s="11" t="s">
        <v>30</v>
      </c>
      <c r="B32" s="6" t="s">
        <v>1</v>
      </c>
      <c r="C32" s="7">
        <v>300</v>
      </c>
    </row>
    <row r="33" spans="1:12" x14ac:dyDescent="0.2">
      <c r="A33" s="10" t="s">
        <v>39</v>
      </c>
      <c r="B33" s="4" t="s">
        <v>15</v>
      </c>
      <c r="C33" s="5">
        <v>265</v>
      </c>
    </row>
    <row r="34" spans="1:12" x14ac:dyDescent="0.2">
      <c r="A34" s="11" t="s">
        <v>40</v>
      </c>
      <c r="B34" s="6" t="s">
        <v>15</v>
      </c>
      <c r="C34" s="7">
        <v>265</v>
      </c>
    </row>
    <row r="35" spans="1:12" x14ac:dyDescent="0.2">
      <c r="A35" s="12" t="s">
        <v>53</v>
      </c>
      <c r="B35" s="8" t="s">
        <v>1</v>
      </c>
      <c r="C35" s="9">
        <v>245</v>
      </c>
    </row>
    <row r="38" spans="1:1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</sheetData>
  <sortState xmlns:xlrd2="http://schemas.microsoft.com/office/spreadsheetml/2017/richdata2" ref="A31:C35">
    <sortCondition ref="A31:A3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FA86-E782-C047-91A9-B5E305B24364}">
  <dimension ref="A1"/>
  <sheetViews>
    <sheetView tabSelected="1" zoomScaleNormal="60" zoomScaleSheetLayoutView="100" workbookViewId="0">
      <selection activeCell="K37" sqref="K37"/>
    </sheetView>
  </sheetViews>
  <sheetFormatPr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Case_5</vt:lpstr>
      <vt:lpstr>Pivot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2026-09-17T04:00:24Z</dcterms:created>
  <dcterms:modified xsi:type="dcterms:W3CDTF">2026-09-17T04:00:24Z</dcterms:modified>
</cp:coreProperties>
</file>